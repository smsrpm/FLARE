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8f8f7e69a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6604_Case7_in" sheetId="1" r:id="Rdf4b965b4fb44259"/>
    <x:sheet xmlns:r="http://schemas.openxmlformats.org/officeDocument/2006/relationships" name="Release Fractions" sheetId="2" r:id="Rbbe6fe67acd84c74"/>
  </x:sheets>
</x:workbook>
</file>

<file path=xl/sharedStrings.xml><?xml version="1.0" encoding="utf-8"?>
<x:sst xmlns:x="http://schemas.openxmlformats.org/spreadsheetml/2006/main">
  <x:si>
    <x:t xml:space="preserve"># NUREG/CR-6604 Case 7 — integrated 300-second LBLOCA</x:t>
  </x:si>
  <x:si>
    <x:t xml:space="preserve"># Ordinary integrated FLARE; prescribed AST dose calculation continues to 2 hours.</x:t>
  </x:si>
  <x:si>
    <x:t xml:space="preserve"># Edit column B. Column A updates to show FLARE assignments.</x:t>
  </x:si>
  <x:si>
    <x:t xml:space="preserve"># TH surrogate from supplied four-loop LBLOCA; not a published Case 7 TH specification.</x:t>
  </x:si>
  <x:si>
    <x:t xml:space="preserve">#</x:t>
  </x:si>
  <x:si>
    <x:t xml:space="preserve">FLARE assignment</x:t>
  </x:si>
  <x:si>
    <x:t xml:space="preserve">Value (editable)</x:t>
  </x:si>
  <x:si>
    <x:t xml:space="preserve">Units</x:t>
  </x:si>
  <x:si>
    <x:t xml:space="preserve">Meaning</x:t>
  </x:si>
  <x:si>
    <x:t xml:space="preserve">Reference</x:t>
  </x:si>
  <x:si>
    <x:t xml:space="preserve"># Plant and inventory</x:t>
  </x:si>
  <x:si>
    <x:t xml:space="preserve">NUREG/CR-6604 §3.3.11, pp319–320</x:t>
  </x:si>
  <x:si>
    <x:t xml:space="preserve">https://digital.library.unt.edu/ark:/67531/metadc695823/</x:t>
  </x:si>
  <x:si>
    <x:t xml:space="preserve">westinghouse_4_loop</x:t>
  </x:si>
  <x:si>
    <x:t xml:space="preserve">Fuel geometry database selection</x:t>
  </x:si>
  <x:si>
    <x:t xml:space="preserve">MWt</x:t>
  </x:si>
  <x:si>
    <x:t xml:space="preserve">Analysis thermal power</x:t>
  </x:si>
  <x:si>
    <x:t xml:space="preserve">GWd/MTU</x:t>
  </x:si>
  <x:si>
    <x:t xml:space="preserve">Dose multiplier; retain1 for comparison</x:t>
  </x:si>
  <x:si>
    <x:t xml:space="preserve"># Source release phases</x:t>
  </x:si>
  <x:si>
    <x:t xml:space="preserve">h</x:t>
  </x:si>
  <x:si>
    <x:t xml:space="preserve">Gap phase begins at shutdown and ends at 0.5 h.</x:t>
  </x:si>
  <x:si>
    <x:t xml:space="preserve">Early in-vessel phase 0.5–1.8 h.</x:t>
  </x:si>
  <x:si>
    <x:t xml:space="preserve"># Decay and removal controls</x:t>
  </x:si>
  <x:si>
    <x:t xml:space="preserve">Group-average radioactive decay</x:t>
  </x:si>
  <x:si>
    <x:t xml:space="preserve">Spray removal credit</x:t>
  </x:si>
  <x:si>
    <x:t xml:space="preserve"># Containment and EAB exposure</x:t>
  </x:si>
  <x:si>
    <x:t xml:space="preserve">ft³</x:t>
  </x:si>
  <x:si>
    <x:t xml:space="preserve">Single well-mixed containment</x:t>
  </x:si>
  <x:si>
    <x:t xml:space="preserve">fraction/day</x:t>
  </x:si>
  <x:si>
    <x:t xml:space="preserve">0.12%/day, not0.0012%/day</x:t>
  </x:si>
  <x:si>
    <x:t xml:space="preserve">s/m³</x:t>
  </x:si>
  <x:si>
    <x:t xml:space="preserve">Constant0–2h; zero thereafter</x:t>
  </x:si>
  <x:si>
    <x:t xml:space="preserve">m³/s</x:t>
  </x:si>
  <x:si>
    <x:t xml:space="preserve">First-two-hour breathing rate</x:t>
  </x:si>
  <x:si>
    <x:t xml:space="preserve">Exposure stops at2h; no later EAB exposure</x:t>
  </x:si>
  <x:si>
    <x:t xml:space="preserve"># Reference result</x:t>
  </x:si>
  <x:si>
    <x:t xml:space="preserve">rem</x:t>
  </x:si>
  <x:si>
    <x:t xml:space="preserve">Published Case7 EAB TEDE</x:t>
  </x:si>
  <x:si>
    <x:t xml:space="preserve"># Model notes</x:t>
  </x:si>
  <x:si>
    <x:t xml:space="preserve"># Integrated LBLOCA below is a surrogate; Case 7 specifies radiological transport only.</x:t>
  </x:si>
  <x:si>
    <x:t xml:space="preserve"># westinghouse_4_loop is the reference geometry used for normalization, not an identification of the original1932-MWt plant.</x:t>
  </x:si>
  <x:si>
    <x:t xml:space="preserve"># Corrected inventories are power-scaled. Fuel geometry cancels from the normalized group activity.</x:t>
  </x:si>
  <x:si>
    <x:t xml:space="preserve"># EAB benchmark only; LPZ and control-room outputs have no benchmark acceptance basis here.</x:t>
  </x:si>
  <x:si>
    <x:t xml:space="preserve"># Target: nominal FLARE EAB 25.7135 rem; published Case 7 reference 25.3 rem.</x:t>
  </x:si>
  <x:si>
    <x:t xml:space="preserve"># Integrated TH settings: supplied four-loop LBLOCA surrogate</x:t>
  </x:si>
  <x:si>
    <x:t xml:space="preserve">m²</x:t>
  </x:si>
  <x:si>
    <x:t xml:space="preserve">Supplied four-loop LBLOCA TH surrogate; not Case 7 report data.</x:t>
  </x:si>
  <x:si>
    <x:t xml:space="preserve">m</x:t>
  </x:si>
  <x:si>
    <x:t xml:space="preserve">m³</x:t>
  </x:si>
  <x:si>
    <x:t xml:space="preserve">kPa</x:t>
  </x:si>
  <x:si>
    <x:t xml:space="preserve">°C</x:t>
  </x:si>
  <x:si>
    <x:t xml:space="preserve">Pa</x:t>
  </x:si>
  <x:si>
    <x:t xml:space="preserve">kg/s</x:t>
  </x:si>
  <x:si>
    <x:t xml:space="preserve">s</x:t>
  </x:si>
  <x:si>
    <x:t xml:space="preserve">kg</x:t>
  </x:si>
  <x:si>
    <x:t xml:space="preserve">27.5-inch single equivalent opening from supplied four-loop LBLOCA.</x:t>
  </x:si>
  <x:si>
    <x:t xml:space="preserve">cold_leg</x:t>
  </x:si>
  <x:si>
    <x:t xml:space="preserve">RG1183_LOCA</x:t>
  </x:si>
  <x:si>
    <x:t xml:space="preserve">Cold-leg elevation surrogate.</x:t>
  </x:si>
  <x:si>
    <x:t xml:space="preserve">Break opens at start.</x:t>
  </x:si>
  <x:si>
    <x:t xml:space="preserve">Automatic protection enabled.</x:t>
  </x:si>
  <x:si>
    <x:t xml:space="preserve">Reactor trip at break initiation.</x:t>
  </x:si>
  <x:si>
    <x:t xml:space="preserve">No added detection delay; rod ramp remains 2 s.</x:t>
  </x:si>
  <x:si>
    <x:t xml:space="preserve">RCP trip and modeled coastdown.</x:t>
  </x:si>
  <x:si>
    <x:t xml:space="preserve">Enable accumulator, HPSI and LPSI.</x:t>
  </x:si>
  <x:si>
    <x:t xml:space="preserve">Generic four-loop LPSI curve.</x:t>
  </x:si>
  <x:si>
    <x:t xml:space="preserve">Case 7: no natural removal.</x:t>
  </x:si>
  <x:si>
    <x:t xml:space="preserve">Case 7: no filtered leakage path.</x:t>
  </x:si>
  <x:si>
    <x:t xml:space="preserve">Independent dose calculation endpoint.</x:t>
  </x:si>
  <x:si>
    <x:t xml:space="preserve">Case 7 EAB exposure ends at 2 h; restrict search accordingly.</x:t>
  </x:si>
  <x:si>
    <x:t xml:space="preserve">Unbenchmarked screening output only.</x:t>
  </x:si>
  <x:si>
    <x:t xml:space="preserve">Structure Q (MW)</x:t>
  </x:si>
  <x:si>
    <x:t xml:space="preserve">Decay Heat (MW)</x:t>
  </x:si>
  <x:si>
    <x:t xml:space="preserve">SG Q (MW)</x:t>
  </x:si>
  <x:si>
    <x:t xml:space="preserve">SI Flow (kg/s)</x:t>
  </x:si>
  <x:si>
    <x:t xml:space="preserve">Reactivity (pcm)</x:t>
  </x:si>
  <x:si>
    <x:t xml:space="preserve">Time (s)</x:t>
  </x:si>
  <x:si>
    <x:t xml:space="preserve">Group source release fractions</x:t>
  </x:si>
  <x:si>
    <x:t xml:space="preserve">Fractions of core inventory. Each phase releases uniformly over its duration.</x:t>
  </x:si>
  <x:si>
    <x:t xml:space="preserve">NBT group</x:t>
  </x:si>
  <x:si>
    <x:t xml:space="preserve">Gap fraction</x:t>
  </x:si>
  <x:si>
    <x:t xml:space="preserve">Early in-vessel fraction</x:t>
  </x:si>
  <x:si>
    <x:t xml:space="preserve">NG</x:t>
  </x:si>
  <x:si>
    <x:t xml:space="preserve">Noble gases</x:t>
  </x:si>
  <x:si>
    <x:t xml:space="preserve">Halogens</x:t>
  </x:si>
  <x:si>
    <x:t xml:space="preserve">Iodine chemical forms set on input sheet</x:t>
  </x:si>
  <x:si>
    <x:t xml:space="preserve">Alkali_metals</x:t>
  </x:si>
  <x:si>
    <x:t xml:space="preserve">Cesium/rubidium group</x:t>
  </x:si>
  <x:si>
    <x:t xml:space="preserve">Te_group</x:t>
  </x:si>
  <x:si>
    <x:t xml:space="preserve">Tellurium group</x:t>
  </x:si>
  <x:si>
    <x:t xml:space="preserve">Ba_Sr</x:t>
  </x:si>
  <x:si>
    <x:t xml:space="preserve">Barium/strontium</x:t>
  </x:si>
  <x:si>
    <x:t xml:space="preserve">Noble_metals</x:t>
  </x:si>
  <x:si>
    <x:t xml:space="preserve">Corrected early in-vessel fraction0.0025</x:t>
  </x:si>
  <x:si>
    <x:t xml:space="preserve">Ce_group</x:t>
  </x:si>
  <x:si>
    <x:t xml:space="preserve">Cerium group</x:t>
  </x:si>
  <x:si>
    <x:t xml:space="preserve">Lanthanides</x:t>
  </x:si>
  <x:si>
    <x:t xml:space="preserve">Corrected early in-vessel fraction0.0002</x:t>
  </x:si>
  <x:si>
    <x:t xml:space="preserve">U_actinides</x:t>
  </x:si>
  <x:si>
    <x:t xml:space="preserve">No represented U-group inventory in reference60 dataset</x:t>
  </x:si>
</x:sst>
</file>

<file path=xl/styles.xml><?xml version="1.0" encoding="utf-8"?>
<x:styleSheet xmlns:x="http://schemas.openxmlformats.org/spreadsheetml/2006/main">
  <x:numFmts count="2">
    <x:numFmt numFmtId="164" formatCode="0.############"/>
    <x:numFmt numFmtId="165" formatCode="0.0000%"/>
  </x:numFmts>
  <x:fonts count="9">
    <x:font>
      <x:sz val="11"/>
      <x:name val="Carlito"/>
    </x:font>
    <x:font>
      <x:sz val="10"/>
      <x:color rgb="FF202B33"/>
      <x:name val="Arial"/>
    </x:font>
    <x:font>
      <x:b/>
      <x:sz val="14"/>
      <x:color rgb="FF202B33"/>
      <x:name val="Arial"/>
    </x:font>
    <x:font>
      <x:b/>
      <x:sz val="10"/>
      <x:color rgb="FFFFFFFF"/>
      <x:name val="Arial"/>
    </x:font>
    <x:font>
      <x:b/>
      <x:sz val="10"/>
      <x:color rgb="FF202B33"/>
      <x:name val="Arial"/>
    </x:font>
    <x:font>
      <x:sz val="9"/>
      <x:color rgb="FF245A81"/>
      <x:name val="Arial"/>
    </x:font>
    <x:font>
      <x:b/>
      <x:sz val="11"/>
      <x:color rgb="FFFFFFFF"/>
      <x:name val="Carlito"/>
    </x:font>
    <x:font>
      <x:sz val="10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73D4A"/>
      </x:patternFill>
    </x:fill>
    <x:fill>
      <x:patternFill patternType="solid">
        <x:fgColor rgb="FFE6EDF1"/>
      </x:patternFill>
    </x:fill>
    <x:fill>
      <x:patternFill patternType="solid">
        <x:fgColor rgb="FFFFF4CE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/>
    <x:xf numFmtId="0" fontId="1" fillId="3" borderId="0" xfId="0" applyFont="1" applyFill="1"/>
    <x:xf numFmtId="0" fontId="4" fillId="3" borderId="0" xfId="0" applyFont="1" applyFill="1"/>
    <x:xf numFmtId="0" fontId="1" fillId="4" borderId="0" xfId="0" applyFont="1" applyFill="1"/>
    <x:xf numFmtId="164" fontId="1" fillId="4" borderId="0" xfId="0" applyNumberFormat="1" applyFont="1" applyFill="1"/>
    <x:xf numFmtId="0" fontId="1" fillId="4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Font="1" applyAlignment="1">
      <x:alignment wrapText="1"/>
    </x:xf>
    <x:xf numFmtId="0" fontId="5" fillId="0" borderId="0" xfId="0" applyFont="1" applyAlignment="1">
      <x:alignment wrapText="1"/>
    </x:xf>
    <x:xf numFmtId="165" fontId="1" fillId="4" borderId="0" xfId="0" applyNumberFormat="1" applyFont="1" applyFill="1"/>
    <x:xf numFmtId="0" fontId="6" fillId="5" borderId="0" xfId="0" applyFont="1" applyFill="1"/>
    <x:xf numFmtId="0" fontId="7" fillId="0" borderId="0" xfId="0" applyFont="1"/>
    <x:xf numFmtId="0" fontId="8" fillId="0" borderId="0" xfId="0" applyFont="1"/>
    <x:xf numFmtId="0" fontId="8" fillId="0" borderId="0" xfId="0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Font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1592a8559446a" /><Relationship Type="http://schemas.openxmlformats.org/officeDocument/2006/relationships/theme" Target="/xl/theme/theme1.xml" Id="R84f4c537710f405b" /><Relationship Type="http://schemas.microsoft.com/office/2022/11/relationships/FeaturePropertyBag" Target="/xl/featurePropertyBag/featurePropertyBag.xml" Id="R46041f1cc5bb42fa" /><Relationship Type="http://schemas.openxmlformats.org/officeDocument/2006/relationships/sharedStrings" Target="/xl/sharedStrings.xml" Id="R03936338737640bc" /><Relationship Type="http://schemas.openxmlformats.org/officeDocument/2006/relationships/worksheet" Target="/xl/worksheets/sheet1.xml" Id="Rdf4b965b4fb44259" /><Relationship Type="http://schemas.openxmlformats.org/officeDocument/2006/relationships/worksheet" Target="/xl/worksheets/sheet2.xml" Id="Rbbe6fe67acd84c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4"/>
  <x:cols>
    <x:col min="1" max="1" width="65" customWidth="1"/>
    <x:col min="2" max="2" width="23" customWidth="1"/>
    <x:col min="3" max="3" width="15" customWidth="1"/>
    <x:col min="4" max="4" width="58" customWidth="1"/>
    <x:col min="5" max="5" width="3" customWidth="1"/>
    <x:col min="6" max="6" width="58" customWidth="1"/>
  </x:cols>
  <x:sheetData>
    <x:row r="1" ht="30" customHeight="1">
      <x:c r="A1" s="2" t="s">
        <x:v>0</x:v>
      </x:c>
      <x:c r="B1" s="1"/>
      <x:c r="C1" s="1"/>
      <x:c r="D1" s="1"/>
      <x:c r="E1" s="1"/>
      <x:c r="F1" s="1"/>
    </x:row>
    <x:row r="2" ht="21" customHeight="1">
      <x:c r="A2" s="1" t="s">
        <x:v>1</x:v>
      </x:c>
      <x:c r="B2" s="1"/>
      <x:c r="C2" s="1"/>
      <x:c r="D2" s="1"/>
      <x:c r="E2" s="1"/>
      <x:c r="F2" s="1"/>
    </x:row>
    <x:row r="3" ht="21" customHeight="1">
      <x:c r="A3" s="1" t="s">
        <x:v>2</x:v>
      </x:c>
      <x:c r="B3" s="1"/>
      <x:c r="C3" s="1"/>
      <x:c r="D3" s="1"/>
      <x:c r="E3" s="1"/>
      <x:c r="F3" s="1"/>
    </x:row>
    <x:row r="4" ht="21" customHeight="1">
      <x:c r="A4" s="1" t="s">
        <x:v>3</x:v>
      </x:c>
      <x:c r="B4" s="1"/>
      <x:c r="C4" s="1"/>
      <x:c r="D4" s="1"/>
      <x:c r="E4" s="1"/>
      <x:c r="F4" s="1"/>
    </x:row>
    <x:row r="5" ht="21" customHeight="1">
      <x:c r="A5" s="1" t="s">
        <x:v>4</x:v>
      </x:c>
      <x:c r="B5" s="1"/>
      <x:c r="C5" s="1"/>
      <x:c r="D5" s="1"/>
      <x:c r="E5" s="1"/>
      <x:c r="F5" s="1"/>
    </x:row>
    <x:row r="6" ht="25" customHeight="1">
      <x:c r="A6" s="3" t="s">
        <x:v>5</x:v>
      </x:c>
      <x:c r="B6" s="3" t="s">
        <x:v>6</x:v>
      </x:c>
      <x:c r="C6" s="3" t="s">
        <x:v>7</x:v>
      </x:c>
      <x:c r="D6" s="3" t="s">
        <x:v>8</x:v>
      </x:c>
      <x:c r="E6" s="1"/>
      <x:c r="F6" s="3" t="s">
        <x:v>9</x:v>
      </x:c>
    </x:row>
    <x:row r="7" ht="21" customHeight="1">
      <x:c r="A7" s="5" t="s">
        <x:v>10</x:v>
      </x:c>
      <x:c r="B7" s="5"/>
      <x:c r="C7" s="5"/>
      <x:c r="D7" s="5"/>
      <x:c r="E7" s="1"/>
      <x:c r="F7" s="9" t="s">
        <x:v>11</x:v>
      </x:c>
    </x:row>
    <x:row r="8" ht="45" customHeight="1">
      <x:c r="A8" s="1" t="s">
        <x:v>4</x:v>
      </x:c>
      <x:c r="B8" s="6"/>
      <x:c r="C8" s="1"/>
      <x:c r="D8" s="1"/>
      <x:c r="E8" s="1"/>
      <x:c r="F8" s="10" t="s">
        <x:v>12</x:v>
      </x:c>
    </x:row>
    <x:row r="9" ht="21" customHeight="1">
      <x:c r="A9" s="1" t="str">
        <x:f>"plant_design = '"&amp;B9&amp;"'"</x:f>
        <x:v>plant_design = 'westinghouse_4_loop'</x:v>
      </x:c>
      <x:c r="B9" s="6" t="s">
        <x:v>13</x:v>
      </x:c>
      <x:c r="C9" s="1"/>
      <x:c r="D9" s="1" t="s">
        <x:v>14</x:v>
      </x:c>
      <x:c r="E9" s="1"/>
      <x:c r="F9" s="1"/>
    </x:row>
    <x:row r="10" ht="21" customHeight="1">
      <x:c r="A10" s="1" t="str">
        <x:f>"total_power = "&amp;TEXT(B10,"0.############")</x:f>
        <x:v>total_power = 1932.</x:v>
      </x:c>
      <x:c r="B10" s="7">
        <x:v>1932</x:v>
      </x:c>
      <x:c r="C10" s="1" t="s">
        <x:v>15</x:v>
      </x:c>
      <x:c r="D10" s="1" t="s">
        <x:v>16</x:v>
      </x:c>
      <x:c r="E10" s="1"/>
      <x:c r="F10" s="1"/>
    </x:row>
    <x:row r="11" ht="48" customHeight="1">
      <x:c r="A11" s="1" t="str">
        <x:f>"nbt_inventory_model = '"&amp;B11&amp;"'"</x:f>
        <x:v>nbt_inventory_model = 'yield_buildup'</x:v>
      </x:c>
      <x:c r="B11" s="6" t="str">
        <x:v>yield_buildup</x:v>
      </x:c>
      <x:c r="C11" s="1"/>
      <x:c r="D11" s="17" t="str">
        <x:v>Analytical U-235 yield inventory, three equal batches; updated simulator/runtime isotope data required.</x:v>
      </x:c>
      <x:c r="E11" s="1"/>
      <x:c r="F11" s="1"/>
    </x:row>
    <x:row r="12" ht="48" customHeight="1">
      <x:c r="A12" s="1" t="str">
        <x:f>"nbt_burnup_gwdmtu = "&amp;TEXT(B12,"0.############")</x:f>
        <x:v>nbt_burnup_gwdmtu = 33.</x:v>
      </x:c>
      <x:c r="B12" s="7">
        <x:v>33</x:v>
      </x:c>
      <x:c r="C12" s="1" t="s">
        <x:v>17</x:v>
      </x:c>
      <x:c r="D12" s="17" t="str">
        <x:v>Oldest batch burnup; three equal batches at 11, 22, 33 GWd/MTU. Core mean 22 GWd/MTU. Existing four-loop fuel-loading proxy retained.</x:v>
      </x:c>
      <x:c r="E12" s="1"/>
      <x:c r="F12" s="1"/>
    </x:row>
    <x:row r="13" ht="21" customHeight="1">
      <x:c r="A13" s="1" t="str">
        <x:f>"nbt_calibrate = "&amp;TEXT(B13,"0.############")</x:f>
        <x:v>nbt_calibrate = 1.</x:v>
      </x:c>
      <x:c r="B13" s="7">
        <x:v>1</x:v>
      </x:c>
      <x:c r="C13" s="1"/>
      <x:c r="D13" s="1" t="s">
        <x:v>18</x:v>
      </x:c>
      <x:c r="E13" s="1"/>
      <x:c r="F13" s="1"/>
    </x:row>
    <x:row r="14" ht="21" customHeight="1">
      <x:c r="A14" s="5" t="s">
        <x:v>19</x:v>
      </x:c>
      <x:c r="B14" s="5"/>
      <x:c r="C14" s="5"/>
      <x:c r="D14" s="5"/>
      <x:c r="E14" s="1"/>
      <x:c r="F14" s="1"/>
    </x:row>
    <x:row r="15" ht="21" customHeight="1">
      <x:c r="A15" s="1" t="str">
        <x:f>"nbt_gap_release_duration_hr = "&amp;B15</x:f>
        <x:v>nbt_gap_release_duration_hr = 0.5</x:v>
      </x:c>
      <x:c r="B15" s="7">
        <x:v>0.5</x:v>
      </x:c>
      <x:c r="C15" s="1" t="s">
        <x:v>20</x:v>
      </x:c>
      <x:c r="D15" s="1" t="s">
        <x:v>21</x:v>
      </x:c>
      <x:c r="E15" s="1"/>
      <x:c r="F15" s="1"/>
    </x:row>
    <x:row r="16" ht="21" customHeight="1">
      <x:c r="A16" s="1" t="str">
        <x:f>"nbt_early_iv_duration_hr = "&amp;B16</x:f>
        <x:v>nbt_early_iv_duration_hr = 1.3</x:v>
      </x:c>
      <x:c r="B16" s="7">
        <x:v>1.3</x:v>
      </x:c>
      <x:c r="C16" s="1" t="s">
        <x:v>20</x:v>
      </x:c>
      <x:c r="D16" s="1" t="s">
        <x:v>22</x:v>
      </x:c>
      <x:c r="E16" s="1"/>
      <x:c r="F16" s="1"/>
    </x:row>
    <x:row r="17" ht="21" customHeight="1">
      <x:c r="A17" s="1" t="s">
        <x:v>4</x:v>
      </x:c>
      <x:c r="B17" s="7"/>
      <x:c r="C17" s="1"/>
      <x:c r="D17" s="1"/>
      <x:c r="E17" s="1"/>
      <x:c r="F17" s="1"/>
    </x:row>
    <x:row r="18" ht="21" customHeight="1">
      <x:c r="A18" s="5" t="s">
        <x:v>23</x:v>
      </x:c>
      <x:c r="B18" s="5"/>
      <x:c r="C18" s="5"/>
      <x:c r="D18" s="5"/>
      <x:c r="E18" s="1"/>
      <x:c r="F18" s="1"/>
    </x:row>
    <x:row r="19" ht="21" customHeight="1">
      <x:c r="A19" s="1" t="str">
        <x:f>"nbt_credit_decay = "&amp;IF(B19,"True","False")</x:f>
        <x:v>nbt_credit_decay = False</x:v>
      </x:c>
      <x:c r="B19" s="8" t="b">
        <x:v>0</x:v>
      </x:c>
      <x:c r="C19" s="1"/>
      <x:c r="D19" s="1" t="s">
        <x:v>24</x:v>
      </x:c>
      <x:c r="E19" s="1"/>
      <x:c r="F19" s="1"/>
    </x:row>
    <x:row r="20" ht="21" customHeight="1">
      <x:c r="A20" s="1" t="str">
        <x:f>"nbt_sprays_on = "&amp;IF(B20,"True","False")</x:f>
        <x:v>nbt_sprays_on = False</x:v>
      </x:c>
      <x:c r="B20" s="8" t="b">
        <x:v>0</x:v>
      </x:c>
      <x:c r="C20" s="1"/>
      <x:c r="D20" s="1" t="s">
        <x:v>25</x:v>
      </x:c>
      <x:c r="E20" s="1"/>
      <x:c r="F20" s="1"/>
    </x:row>
    <x:row r="21" ht="21" customHeight="1">
      <x:c r="A21" s="5" t="s">
        <x:v>26</x:v>
      </x:c>
      <x:c r="B21" s="5"/>
      <x:c r="C21" s="5"/>
      <x:c r="D21" s="5"/>
      <x:c r="E21" s="1"/>
      <x:c r="F21" s="1"/>
    </x:row>
    <x:row r="22" ht="21" customHeight="1">
      <x:c r="A22" s="1" t="str">
        <x:f>"nbt_containment_volume_ft3 = "&amp;TEXT(B22,"0.############")</x:f>
        <x:v>nbt_containment_volume_ft3 = 1730000.</x:v>
      </x:c>
      <x:c r="B22" s="7">
        <x:v>1730000</x:v>
      </x:c>
      <x:c r="C22" s="1" t="s">
        <x:v>27</x:v>
      </x:c>
      <x:c r="D22" s="1" t="s">
        <x:v>28</x:v>
      </x:c>
      <x:c r="E22" s="1"/>
      <x:c r="F22" s="1"/>
    </x:row>
    <x:row r="23" ht="21" customHeight="1">
      <x:c r="A23" s="1" t="str">
        <x:f>"nbt_leak_rate_frac_per_day = "&amp;TEXT(B23,"0.############")</x:f>
        <x:v>nbt_leak_rate_frac_per_day = 0.0012</x:v>
      </x:c>
      <x:c r="B23" s="7">
        <x:v>1.1999999999999999E-3</x:v>
      </x:c>
      <x:c r="C23" s="1" t="s">
        <x:v>29</x:v>
      </x:c>
      <x:c r="D23" s="1" t="s">
        <x:v>30</x:v>
      </x:c>
      <x:c r="E23" s="1"/>
      <x:c r="F23" s="1"/>
    </x:row>
    <x:row r="24" ht="21" customHeight="1">
      <x:c r="A24" s="1" t="str">
        <x:f>"nbt_chi_q_eab = "&amp;TEXT(B24,"0.############")</x:f>
        <x:v>nbt_chi_q_eab = 0.001</x:v>
      </x:c>
      <x:c r="B24" s="7">
        <x:v>1E-3</x:v>
      </x:c>
      <x:c r="C24" s="1" t="s">
        <x:v>31</x:v>
      </x:c>
      <x:c r="D24" s="1" t="s">
        <x:v>32</x:v>
      </x:c>
      <x:c r="E24" s="1"/>
      <x:c r="F24" s="1"/>
    </x:row>
    <x:row r="25" ht="21" customHeight="1">
      <x:c r="A25" s="1" t="str">
        <x:f>"nbt_breathing_rate_m3_s = "&amp;TEXT(B25,"0.############")</x:f>
        <x:v>nbt_breathing_rate_m3_s = 0.000347</x:v>
      </x:c>
      <x:c r="B25" s="7">
        <x:v>3.4699999999999998E-4</x:v>
      </x:c>
      <x:c r="C25" s="1" t="s">
        <x:v>33</x:v>
      </x:c>
      <x:c r="D25" s="1" t="s">
        <x:v>34</x:v>
      </x:c>
      <x:c r="E25" s="1"/>
      <x:c r="F25" s="1"/>
    </x:row>
    <x:row r="26" ht="21" customHeight="1">
      <x:c r="A26" s="1" t="str">
        <x:f>"nbt_eab_integration_hr = "&amp;TEXT(B26,"0.############")</x:f>
        <x:v>nbt_eab_integration_hr = 2.</x:v>
      </x:c>
      <x:c r="B26" s="7">
        <x:v>2</x:v>
      </x:c>
      <x:c r="C26" s="1" t="s">
        <x:v>20</x:v>
      </x:c>
      <x:c r="D26" s="1" t="s">
        <x:v>35</x:v>
      </x:c>
      <x:c r="E26" s="1"/>
      <x:c r="F26" s="1"/>
    </x:row>
    <x:row r="27" ht="21" customHeight="1">
      <x:c r="A27" s="5" t="s">
        <x:v>36</x:v>
      </x:c>
      <x:c r="B27" s="5"/>
      <x:c r="C27" s="5"/>
      <x:c r="D27" s="5"/>
      <x:c r="E27" s="1"/>
      <x:c r="F27" s="1"/>
    </x:row>
    <x:row r="28" ht="21" customHeight="1">
      <x:c r="A28" s="1" t="str">
        <x:f>"reference_eab_rem = "&amp;TEXT(B28,"0.############")</x:f>
        <x:v>reference_eab_rem = 25.3</x:v>
      </x:c>
      <x:c r="B28" s="7">
        <x:v>25.3</x:v>
      </x:c>
      <x:c r="C28" s="1" t="s">
        <x:v>37</x:v>
      </x:c>
      <x:c r="D28" s="1" t="s">
        <x:v>38</x:v>
      </x:c>
      <x:c r="E28" s="1"/>
      <x:c r="F28" s="1"/>
    </x:row>
    <x:row r="29" ht="21" customHeight="1">
      <x:c r="A29" s="1" t="s">
        <x:v>4</x:v>
      </x:c>
      <x:c r="B29" s="1"/>
      <x:c r="C29" s="1"/>
      <x:c r="D29" s="1"/>
      <x:c r="E29" s="1"/>
      <x:c r="F29" s="1"/>
    </x:row>
    <x:row r="30" ht="21" customHeight="1">
      <x:c r="A30" s="1" t="s">
        <x:v>4</x:v>
      </x:c>
      <x:c r="B30" s="1"/>
      <x:c r="C30" s="1"/>
      <x:c r="D30" s="1"/>
      <x:c r="E30" s="1"/>
      <x:c r="F30" s="1"/>
    </x:row>
    <x:row r="31" ht="21" customHeight="1">
      <x:c r="A31" s="4" t="s">
        <x:v>39</x:v>
      </x:c>
      <x:c r="B31" s="4"/>
      <x:c r="C31" s="4"/>
      <x:c r="D31" s="4"/>
      <x:c r="E31" s="1"/>
      <x:c r="F31" s="1"/>
    </x:row>
    <x:row r="32" ht="31" customHeight="1">
      <x:c r="A32" s="16" t="s">
        <x:v>40</x:v>
      </x:c>
      <x:c r="B32" s="16"/>
      <x:c r="C32" s="16"/>
      <x:c r="D32" s="16"/>
      <x:c r="E32" s="1"/>
      <x:c r="F32" s="1"/>
    </x:row>
    <x:row r="33" ht="31" customHeight="1">
      <x:c r="A33" s="16" t="s">
        <x:v>41</x:v>
      </x:c>
      <x:c r="B33" s="16"/>
      <x:c r="C33" s="16"/>
      <x:c r="D33" s="16"/>
      <x:c r="E33" s="1"/>
      <x:c r="F33" s="1"/>
    </x:row>
    <x:row r="34" ht="31" customHeight="1">
      <x:c r="A34" s="16" t="s">
        <x:v>42</x:v>
      </x:c>
      <x:c r="B34" s="16"/>
      <x:c r="C34" s="16"/>
      <x:c r="D34" s="16"/>
      <x:c r="E34" s="1"/>
      <x:c r="F34" s="1"/>
    </x:row>
    <x:row r="35" ht="31" customHeight="1">
      <x:c r="A35" s="16" t="s">
        <x:v>43</x:v>
      </x:c>
      <x:c r="B35" s="16"/>
      <x:c r="C35" s="16"/>
      <x:c r="D35" s="16"/>
      <x:c r="E35" s="1"/>
      <x:c r="F35" s="1"/>
    </x:row>
    <x:row r="36" ht="31" customHeight="1">
      <x:c r="A36" s="16" t="s">
        <x:v>44</x:v>
      </x:c>
      <x:c r="B36" s="16"/>
      <x:c r="C36" s="16"/>
      <x:c r="D36" s="16"/>
      <x:c r="E36" s="1"/>
      <x:c r="F36" s="1"/>
    </x:row>
    <x:row r="37" ht="21" customHeight="1">
      <x:c r="A37" s="1" t="s">
        <x:v>4</x:v>
      </x:c>
      <x:c r="B37" s="1"/>
      <x:c r="C37" s="1"/>
      <x:c r="D37" s="1"/>
      <x:c r="E37" s="1"/>
      <x:c r="F37" s="1"/>
    </x:row>
    <x:row r="38" ht="21" customHeight="1">
      <x:c r="A38" s="1" t="s">
        <x:v>4</x:v>
      </x:c>
      <x:c r="B38" s="1"/>
      <x:c r="C38" s="1"/>
      <x:c r="D38" s="1"/>
      <x:c r="E38" s="1"/>
      <x:c r="F38" s="1"/>
    </x:row>
    <x:row r="39" ht="21" customHeight="1">
      <x:c r="A39" s="1" t="s">
        <x:v>4</x:v>
      </x:c>
      <x:c r="B39" s="1"/>
      <x:c r="C39" s="1"/>
      <x:c r="D39" s="1"/>
      <x:c r="E39" s="1"/>
      <x:c r="F39" s="1"/>
    </x:row>
    <x:row r="40" ht="21" customHeight="1">
      <x:c r="A40" s="1" t="s">
        <x:v>4</x:v>
      </x:c>
      <x:c r="B40" s="1"/>
      <x:c r="C40" s="1"/>
      <x:c r="D40" s="1"/>
      <x:c r="E40" s="1"/>
      <x:c r="F40" s="1"/>
    </x:row>
    <x:row r="41" ht="21" customHeight="1">
      <x:c r="A41" s="1" t="s">
        <x:v>4</x:v>
      </x:c>
      <x:c r="B41" s="1"/>
      <x:c r="C41" s="1"/>
      <x:c r="D41" s="1"/>
      <x:c r="E41" s="1"/>
      <x:c r="F41" s="1"/>
    </x:row>
    <x:row r="42" ht="21" customHeight="1">
      <x:c r="A42" s="1" t="s">
        <x:v>4</x:v>
      </x:c>
      <x:c r="B42" s="1"/>
      <x:c r="C42" s="1"/>
      <x:c r="D42" s="1"/>
      <x:c r="E42" s="1"/>
      <x:c r="F42" s="1"/>
    </x:row>
    <x:row r="43" ht="21" customHeight="1">
      <x:c r="A43" s="1" t="s">
        <x:v>4</x:v>
      </x:c>
      <x:c r="B43" s="1"/>
      <x:c r="C43" s="1"/>
      <x:c r="D43" s="1"/>
      <x:c r="E43" s="1"/>
      <x:c r="F43" s="1"/>
    </x:row>
    <x:row r="44">
      <x:c r="A44" t="s">
        <x:v>4</x:v>
      </x:c>
    </x:row>
    <x:row r="45">
      <x:c r="A45" s="13" t="s">
        <x:v>45</x:v>
      </x:c>
      <x:c r="B45" s="13"/>
      <x:c r="C45" s="13"/>
      <x:c r="D45" s="13"/>
    </x:row>
    <x:row r="46">
      <x:c r="A46" s="13" t="str">
        <x:f>"R5_area = "&amp;B46</x:f>
        <x:v>R5_area = 15.165248141909007</x:v>
      </x:c>
      <x:c r="B46" s="14">
        <x:v>15.165248141909007</x:v>
      </x:c>
      <x:c r="C46" s="13" t="s">
        <x:v>46</x:v>
      </x:c>
      <x:c r="D46" s="13" t="s">
        <x:v>47</x:v>
      </x:c>
    </x:row>
    <x:row r="47">
      <x:c r="A47" s="13" t="str">
        <x:f>"R5_lowCV_height = "&amp;B47</x:f>
        <x:v>R5_lowCV_height = 6.096</x:v>
      </x:c>
      <x:c r="B47" s="14">
        <x:v>6.0960000000000001</x:v>
      </x:c>
      <x:c r="C47" s="13" t="s">
        <x:v>48</x:v>
      </x:c>
      <x:c r="D47" s="13" t="s">
        <x:v>47</x:v>
      </x:c>
    </x:row>
    <x:row r="48">
      <x:c r="A48" s="13" t="str">
        <x:f>"R5_highCV_height = "&amp;B48</x:f>
        <x:v>R5_highCV_height = 3.048</x:v>
      </x:c>
      <x:c r="B48" s="14">
        <x:v>3.048</x:v>
      </x:c>
      <x:c r="C48" s="13" t="s">
        <x:v>48</x:v>
      </x:c>
      <x:c r="D48" s="13" t="s">
        <x:v>47</x:v>
      </x:c>
    </x:row>
    <x:row r="49">
      <x:c r="A49" s="13" t="str">
        <x:f>"loop_vol_m3 = "&amp;B49</x:f>
        <x:v>loop_vol_m3 = 234</x:v>
      </x:c>
      <x:c r="B49" s="14">
        <x:v>234</x:v>
      </x:c>
      <x:c r="C49" s="13" t="s">
        <x:v>49</x:v>
      </x:c>
      <x:c r="D49" s="13" t="s">
        <x:v>47</x:v>
      </x:c>
    </x:row>
    <x:row r="50">
      <x:c r="A50" s="13" t="str">
        <x:f>"pzr_height = "&amp;B50</x:f>
        <x:v>pzr_height = 16.1</x:v>
      </x:c>
      <x:c r="B50" s="14">
        <x:v>16.100000000000001</x:v>
      </x:c>
      <x:c r="C50" s="13" t="s">
        <x:v>48</x:v>
      </x:c>
      <x:c r="D50" s="13" t="s">
        <x:v>47</x:v>
      </x:c>
    </x:row>
    <x:row r="51">
      <x:c r="A51" s="13" t="str">
        <x:f>"pzr_level_init = "&amp;B51</x:f>
        <x:v>pzr_level_init = 10.465000000000002</x:v>
      </x:c>
      <x:c r="B51" s="14">
        <x:v>10.465000000000002</x:v>
      </x:c>
      <x:c r="C51" s="13" t="s">
        <x:v>48</x:v>
      </x:c>
      <x:c r="D51" s="13" t="s">
        <x:v>47</x:v>
      </x:c>
    </x:row>
    <x:row r="52">
      <x:c r="A52" s="13" t="str">
        <x:f>"pzr_level_hi = "&amp;B52</x:f>
        <x:v>pzr_level_hi = 14.490000000000002</x:v>
      </x:c>
      <x:c r="B52" s="14">
        <x:v>14.490000000000002</x:v>
      </x:c>
      <x:c r="C52" s="13" t="s">
        <x:v>48</x:v>
      </x:c>
      <x:c r="D52" s="13" t="s">
        <x:v>47</x:v>
      </x:c>
    </x:row>
    <x:row r="53">
      <x:c r="A53" s="13" t="str">
        <x:f>"acc_totvol = "&amp;B53</x:f>
        <x:v>acc_totvol = 147.264</x:v>
      </x:c>
      <x:c r="B53" s="14">
        <x:v>147.26400000000001</x:v>
      </x:c>
      <x:c r="C53" s="13" t="s">
        <x:v>49</x:v>
      </x:c>
      <x:c r="D53" s="13" t="s">
        <x:v>47</x:v>
      </x:c>
    </x:row>
    <x:row r="54">
      <x:c r="A54" s="13" t="str">
        <x:f>"acc_gasvol = "&amp;B54</x:f>
        <x:v>acc_gasvol = 45.312000000000005</x:v>
      </x:c>
      <x:c r="B54" s="14">
        <x:v>45.312000000000005</x:v>
      </x:c>
      <x:c r="C54" s="13" t="s">
        <x:v>49</x:v>
      </x:c>
      <x:c r="D54" s="13" t="s">
        <x:v>47</x:v>
      </x:c>
    </x:row>
    <x:row r="55">
      <x:c r="A55" s="13" t="str">
        <x:f>"acc_area = "&amp;B55</x:f>
        <x:v>acc_area = 24.7605182208</x:v>
      </x:c>
      <x:c r="B55" s="14">
        <x:v>24.760518220800002</x:v>
      </x:c>
      <x:c r="C55" s="13" t="s">
        <x:v>46</x:v>
      </x:c>
      <x:c r="D55" s="13" t="s">
        <x:v>47</x:v>
      </x:c>
    </x:row>
    <x:row r="56">
      <x:c r="A56" s="13" t="str">
        <x:f>"acc_length = "&amp;B56</x:f>
        <x:v>acc_length = 5.947533031691207</x:v>
      </x:c>
      <x:c r="B56" s="14">
        <x:v>5.947533031691207</x:v>
      </x:c>
      <x:c r="C56" s="13" t="s">
        <x:v>48</x:v>
      </x:c>
      <x:c r="D56" s="13" t="s">
        <x:v>47</x:v>
      </x:c>
    </x:row>
    <x:row r="57">
      <x:c r="A57" s="13" t="str">
        <x:f>"acc_narea = "&amp;B57</x:f>
        <x:v>acc_narea = 0.01189158912</x:v>
      </x:c>
      <x:c r="B57" s="14">
        <x:v>1.1891589120000001E-2</x:v>
      </x:c>
      <x:c r="C57" s="13" t="s">
        <x:v>46</x:v>
      </x:c>
      <x:c r="D57" s="13" t="s">
        <x:v>47</x:v>
      </x:c>
    </x:row>
    <x:row r="58">
      <x:c r="A58" s="13" t="str">
        <x:f>"pressure_kPa = "&amp;B58</x:f>
        <x:v>pressure_kPa = 15513</x:v>
      </x:c>
      <x:c r="B58" s="14">
        <x:v>15513</x:v>
      </x:c>
      <x:c r="C58" s="13" t="s">
        <x:v>50</x:v>
      </x:c>
      <x:c r="D58" s="13" t="s">
        <x:v>47</x:v>
      </x:c>
    </x:row>
    <x:row r="59">
      <x:c r="A59" s="13" t="str">
        <x:f>"temp_core_exit = "&amp;B59</x:f>
        <x:v>temp_core_exit = 324.7</x:v>
      </x:c>
      <x:c r="B59" s="14">
        <x:v>324.7</x:v>
      </x:c>
      <x:c r="C59" s="13" t="s">
        <x:v>51</x:v>
      </x:c>
      <x:c r="D59" s="13" t="s">
        <x:v>47</x:v>
      </x:c>
    </x:row>
    <x:row r="60">
      <x:c r="A60" s="13" t="str">
        <x:f>"fr35 = "&amp;B60</x:f>
        <x:v>fr35 = 0.81</x:v>
      </x:c>
      <x:c r="B60" s="14">
        <x:v>0.81</x:v>
      </x:c>
      <x:c r="C60" s="13"/>
      <x:c r="D60" s="13" t="s">
        <x:v>47</x:v>
      </x:c>
    </x:row>
    <x:row r="61">
      <x:c r="A61" s="13" t="str">
        <x:f>"fr38 = "&amp;B61</x:f>
        <x:v>fr38 = 0.13</x:v>
      </x:c>
      <x:c r="B61" s="14">
        <x:v>0.13</x:v>
      </x:c>
      <x:c r="C61" s="13"/>
      <x:c r="D61" s="13" t="s">
        <x:v>47</x:v>
      </x:c>
    </x:row>
    <x:row r="62">
      <x:c r="A62" s="13" t="str">
        <x:f>"fr39 = "&amp;B62</x:f>
        <x:v>fr39 = 0.06</x:v>
      </x:c>
      <x:c r="B62" s="14">
        <x:v>0.06</x:v>
      </x:c>
      <x:c r="C62" s="13"/>
      <x:c r="D62" s="13" t="s">
        <x:v>47</x:v>
      </x:c>
    </x:row>
    <x:row r="63">
      <x:c r="A63" s="13" t="str">
        <x:f>"F_r = "&amp;B63</x:f>
        <x:v>F_r = 1.65</x:v>
      </x:c>
      <x:c r="B63" s="14">
        <x:v>1.65</x:v>
      </x:c>
      <x:c r="C63" s="13"/>
      <x:c r="D63" s="13" t="s">
        <x:v>47</x:v>
      </x:c>
    </x:row>
    <x:row r="64">
      <x:c r="A64" s="13" t="str">
        <x:f>"F_z = "&amp;B64</x:f>
        <x:v>F_z = 1.55</x:v>
      </x:c>
      <x:c r="B64" s="14">
        <x:v>1.55</x:v>
      </x:c>
      <x:c r="C64" s="13"/>
      <x:c r="D64" s="13" t="s">
        <x:v>47</x:v>
      </x:c>
    </x:row>
    <x:row r="65">
      <x:c r="A65" s="13" t="str">
        <x:f>"Cd_sub = "&amp;B65</x:f>
        <x:v>Cd_sub = 0.93</x:v>
      </x:c>
      <x:c r="B65" s="14">
        <x:v>0.93</x:v>
      </x:c>
      <x:c r="C65" s="13"/>
      <x:c r="D65" s="13" t="s">
        <x:v>47</x:v>
      </x:c>
    </x:row>
    <x:row r="66">
      <x:c r="A66" s="13" t="str">
        <x:f>"Cd_sat = "&amp;B66</x:f>
        <x:v>Cd_sat = 0.93</x:v>
      </x:c>
      <x:c r="B66" s="14">
        <x:v>0.93</x:v>
      </x:c>
      <x:c r="C66" s="13"/>
      <x:c r="D66" s="13" t="s">
        <x:v>47</x:v>
      </x:c>
    </x:row>
    <x:row r="67">
      <x:c r="A67" s="13" t="str">
        <x:f>"transition_mixture_mass = "&amp;B67</x:f>
        <x:v>transition_mixture_mass = 0.463</x:v>
      </x:c>
      <x:c r="B67" s="14">
        <x:v>0.46300000000000002</x:v>
      </x:c>
      <x:c r="C67" s="13"/>
      <x:c r="D67" s="13" t="s">
        <x:v>47</x:v>
      </x:c>
    </x:row>
    <x:row r="68">
      <x:c r="A68" s="13" t="str">
        <x:f>"PORV_setpoint_kPa = "&amp;B68</x:f>
        <x:v>PORV_setpoint_kPa = 15990</x:v>
      </x:c>
      <x:c r="B68" s="14">
        <x:v>15990</x:v>
      </x:c>
      <x:c r="C68" s="13" t="s">
        <x:v>50</x:v>
      </x:c>
      <x:c r="D68" s="13" t="s">
        <x:v>47</x:v>
      </x:c>
    </x:row>
    <x:row r="69">
      <x:c r="A69" s="13" t="str">
        <x:f>"PORV_area_m2 = "&amp;B69</x:f>
        <x:v>PORV_area_m2 = 0.036</x:v>
      </x:c>
      <x:c r="B69" s="14">
        <x:v>3.5999999999999997E-2</x:v>
      </x:c>
      <x:c r="C69" s="13" t="s">
        <x:v>46</x:v>
      </x:c>
      <x:c r="D69" s="13" t="s">
        <x:v>47</x:v>
      </x:c>
    </x:row>
    <x:row r="70">
      <x:c r="A70" s="13" t="str">
        <x:f>"P_relax = "&amp;B70</x:f>
        <x:v>P_relax = 0.4</x:v>
      </x:c>
      <x:c r="B70" s="14">
        <x:v>0.4</x:v>
      </x:c>
      <x:c r="C70" s="13"/>
      <x:c r="D70" s="13" t="s">
        <x:v>47</x:v>
      </x:c>
    </x:row>
    <x:row r="71">
      <x:c r="A71" s="13" t="str">
        <x:f>"p_si_setpoint_Pa = "&amp;B71</x:f>
        <x:v>p_si_setpoint_Pa = 11700000</x:v>
      </x:c>
      <x:c r="B71" s="14">
        <x:v>11700000</x:v>
      </x:c>
      <x:c r="C71" s="13" t="s">
        <x:v>52</x:v>
      </x:c>
      <x:c r="D71" s="13" t="s">
        <x:v>47</x:v>
      </x:c>
    </x:row>
    <x:row r="72">
      <x:c r="A72" s="13" t="str">
        <x:f>"hpsi_mdot_rated = "&amp;B72</x:f>
        <x:v>hpsi_mdot_rated = 160</x:v>
      </x:c>
      <x:c r="B72" s="14">
        <x:v>160</x:v>
      </x:c>
      <x:c r="C72" s="13" t="s">
        <x:v>53</x:v>
      </x:c>
      <x:c r="D72" s="13" t="s">
        <x:v>47</x:v>
      </x:c>
    </x:row>
    <x:row r="73">
      <x:c r="A73" s="13" t="str">
        <x:f>"hpsi_p_shutoff_Pa = "&amp;B73</x:f>
        <x:v>hpsi_p_shutoff_Pa = 12500000</x:v>
      </x:c>
      <x:c r="B73" s="14">
        <x:v>12500000</x:v>
      </x:c>
      <x:c r="C73" s="13" t="s">
        <x:v>52</x:v>
      </x:c>
      <x:c r="D73" s="13" t="s">
        <x:v>47</x:v>
      </x:c>
    </x:row>
    <x:row r="74">
      <x:c r="A74" s="13" t="str">
        <x:f>"hpsi_p_rated_Pa = "&amp;B74</x:f>
        <x:v>hpsi_p_rated_Pa = 4000000</x:v>
      </x:c>
      <x:c r="B74" s="14">
        <x:v>4000000</x:v>
      </x:c>
      <x:c r="C74" s="13" t="s">
        <x:v>52</x:v>
      </x:c>
      <x:c r="D74" s="13" t="s">
        <x:v>47</x:v>
      </x:c>
    </x:row>
    <x:row r="75">
      <x:c r="A75" s="13" t="str">
        <x:f>"hpsi_delay_s = "&amp;B75</x:f>
        <x:v>hpsi_delay_s = 25</x:v>
      </x:c>
      <x:c r="B75" s="14">
        <x:v>25</x:v>
      </x:c>
      <x:c r="C75" s="13" t="s">
        <x:v>54</x:v>
      </x:c>
      <x:c r="D75" s="13" t="s">
        <x:v>47</x:v>
      </x:c>
    </x:row>
    <x:row r="76">
      <x:c r="A76" s="13" t="str">
        <x:f>"lpsi_mdot_rated = "&amp;B76</x:f>
        <x:v>lpsi_mdot_rated = 350</x:v>
      </x:c>
      <x:c r="B76" s="14">
        <x:v>350</x:v>
      </x:c>
      <x:c r="C76" s="13" t="s">
        <x:v>53</x:v>
      </x:c>
      <x:c r="D76" s="13" t="s">
        <x:v>47</x:v>
      </x:c>
    </x:row>
    <x:row r="77">
      <x:c r="A77" s="13" t="str">
        <x:f>"lpsi_delay_s = "&amp;B77</x:f>
        <x:v>lpsi_delay_s = 35</x:v>
      </x:c>
      <x:c r="B77" s="14">
        <x:v>35</x:v>
      </x:c>
      <x:c r="C77" s="13" t="s">
        <x:v>54</x:v>
      </x:c>
      <x:c r="D77" s="13" t="s">
        <x:v>47</x:v>
      </x:c>
    </x:row>
    <x:row r="78">
      <x:c r="A78" s="13" t="str">
        <x:f>"rwst_mass_initial = "&amp;B78</x:f>
        <x:v>rwst_mass_initial = 9000000</x:v>
      </x:c>
      <x:c r="B78" s="14">
        <x:v>9000000</x:v>
      </x:c>
      <x:c r="C78" s="13" t="s">
        <x:v>55</x:v>
      </x:c>
      <x:c r="D78" s="13" t="s">
        <x:v>47</x:v>
      </x:c>
    </x:row>
    <x:row r="79">
      <x:c r="A79" s="13" t="str">
        <x:f>"trip_rod_insertion_time_s = "&amp;B79</x:f>
        <x:v>trip_rod_insertion_time_s = 2</x:v>
      </x:c>
      <x:c r="B79" s="14">
        <x:v>2</x:v>
      </x:c>
      <x:c r="C79" s="13" t="s">
        <x:v>54</x:v>
      </x:c>
      <x:c r="D79" s="13" t="s">
        <x:v>47</x:v>
      </x:c>
    </x:row>
    <x:row r="80">
      <x:c r="A80" s="13" t="str">
        <x:f>"rcs_enthalpy_relax_tau_s = "&amp;B80</x:f>
        <x:v>rcs_enthalpy_relax_tau_s = 25</x:v>
      </x:c>
      <x:c r="B80" s="14">
        <x:v>25</x:v>
      </x:c>
      <x:c r="C80" s="13"/>
      <x:c r="D80" s="13" t="s">
        <x:v>47</x:v>
      </x:c>
    </x:row>
    <x:row r="81">
      <x:c r="A81" s="13" t="str">
        <x:f>"endtime = "&amp;B81</x:f>
        <x:v>endtime = 300</x:v>
      </x:c>
      <x:c r="B81" s="14">
        <x:v>300</x:v>
      </x:c>
      <x:c r="C81" s="13"/>
      <x:c r="D81" s="13" t="s">
        <x:v>47</x:v>
      </x:c>
    </x:row>
    <x:row r="82">
      <x:c r="A82" s="13" t="str">
        <x:f>"diameter_break = "&amp;B82</x:f>
        <x:v>diameter_break = 0.6985</x:v>
      </x:c>
      <x:c r="B82" s="14">
        <x:v>0.69850000000000001</x:v>
      </x:c>
      <x:c r="C82" s="13"/>
      <x:c r="D82" s="13" t="s">
        <x:v>56</x:v>
      </x:c>
    </x:row>
    <x:row r="83">
      <x:c r="A83" s="13" t="str">
        <x:f>"post_chf_model = '"&amp;B83&amp;"'"</x:f>
        <x:v>post_chf_model = 'cold_leg'</x:v>
      </x:c>
      <x:c r="B83" s="14" t="s">
        <x:v>57</x:v>
      </x:c>
      <x:c r="C83" s="13"/>
      <x:c r="D83" s="13" t="s">
        <x:v>47</x:v>
      </x:c>
    </x:row>
    <x:row r="84">
      <x:c r="A84" s="13" t="str">
        <x:f>"htc_post_chf = "&amp;B84</x:f>
        <x:v>htc_post_chf = 450</x:v>
      </x:c>
      <x:c r="B84" s="14">
        <x:v>450</x:v>
      </x:c>
      <x:c r="C84" s="13"/>
      <x:c r="D84" s="13" t="s">
        <x:v>47</x:v>
      </x:c>
    </x:row>
    <x:row r="85">
      <x:c r="A85" s="13" t="str">
        <x:f>"film_boiling_level_m = "&amp;B85</x:f>
        <x:v>film_boiling_level_m = 4</x:v>
      </x:c>
      <x:c r="B85" s="14">
        <x:v>4</x:v>
      </x:c>
      <x:c r="C85" s="13" t="s">
        <x:v>48</x:v>
      </x:c>
      <x:c r="D85" s="13" t="s">
        <x:v>47</x:v>
      </x:c>
    </x:row>
    <x:row r="86">
      <x:c r="A86" s="13" t="str">
        <x:f>"dry_core_trigger_level_m = "&amp;B86</x:f>
        <x:v>dry_core_trigger_level_m = 2</x:v>
      </x:c>
      <x:c r="B86" s="14">
        <x:v>2</x:v>
      </x:c>
      <x:c r="C86" s="13" t="s">
        <x:v>48</x:v>
      </x:c>
      <x:c r="D86" s="13" t="s">
        <x:v>47</x:v>
      </x:c>
    </x:row>
    <x:row r="87">
      <x:c r="A87" s="13" t="str">
        <x:f>"source_term_model = '"&amp;B87&amp;"'"</x:f>
        <x:v>source_term_model = 'RG1183_LOCA'</x:v>
      </x:c>
      <x:c r="B87" s="14" t="s">
        <x:v>58</x:v>
      </x:c>
      <x:c r="C87" s="13"/>
      <x:c r="D87" s="13" t="s">
        <x:v>47</x:v>
      </x:c>
    </x:row>
    <x:row r="88">
      <x:c r="A88" s="13" t="str">
        <x:f>"pump_rated_flow_m3s = "&amp;B88</x:f>
        <x:v>pump_rated_flow_m3s = 27.204</x:v>
      </x:c>
      <x:c r="B88" s="14">
        <x:v>27.204000000000001</x:v>
      </x:c>
      <x:c r="C88" s="13" t="s">
        <x:v>33</x:v>
      </x:c>
      <x:c r="D88" s="13" t="s">
        <x:v>47</x:v>
      </x:c>
    </x:row>
    <x:row r="89">
      <x:c r="A89" s="13" t="str">
        <x:f>"pump_rated_head_m = "&amp;B89</x:f>
        <x:v>pump_rated_head_m = 82.3</x:v>
      </x:c>
      <x:c r="B89" s="14">
        <x:v>82.3</x:v>
      </x:c>
      <x:c r="C89" s="13" t="s">
        <x:v>48</x:v>
      </x:c>
      <x:c r="D89" s="13" t="s">
        <x:v>47</x:v>
      </x:c>
    </x:row>
    <x:row r="90">
      <x:c r="A90" s="13" t="str">
        <x:f>"pump_rated_torque_Nm = "&amp;B90</x:f>
        <x:v>pump_rated_torque_Nm = 56063.6</x:v>
      </x:c>
      <x:c r="B90" s="14">
        <x:v>56063.6</x:v>
      </x:c>
      <x:c r="C90" s="13"/>
      <x:c r="D90" s="13" t="s">
        <x:v>47</x:v>
      </x:c>
    </x:row>
    <x:row r="91">
      <x:c r="A91" s="13" t="str">
        <x:f>"pump_rated_density_kg_m3 = "&amp;B91</x:f>
        <x:v>pump_rated_density_kg_m3 = 720</x:v>
      </x:c>
      <x:c r="B91" s="14">
        <x:v>720</x:v>
      </x:c>
      <x:c r="C91" s="13"/>
      <x:c r="D91" s="13" t="s">
        <x:v>47</x:v>
      </x:c>
    </x:row>
    <x:row r="92">
      <x:c r="A92" s="13" t="str">
        <x:f>"pump_inertia_kg_m2 = "&amp;B92</x:f>
        <x:v>pump_inertia_kg_m2 = 129.357</x:v>
      </x:c>
      <x:c r="B92" s="14">
        <x:v>129.357</x:v>
      </x:c>
      <x:c r="C92" s="13"/>
      <x:c r="D92" s="13" t="s">
        <x:v>47</x:v>
      </x:c>
    </x:row>
    <x:row r="93">
      <x:c r="A93" s="13" t="str">
        <x:f>"pump_flow_area_m2 = "&amp;B93</x:f>
        <x:v>pump_flow_area_m2 = 2.1988</x:v>
      </x:c>
      <x:c r="B93" s="14">
        <x:v>2.1987999999999999</x:v>
      </x:c>
      <x:c r="C93" s="13"/>
      <x:c r="D93" s="13" t="s">
        <x:v>47</x:v>
      </x:c>
    </x:row>
    <x:row r="94">
      <x:c r="A94" s="13" t="str">
        <x:f>"pump_friction_torque_Nm = "&amp;B94</x:f>
        <x:v>pump_friction_torque_Nm = 226.476</x:v>
      </x:c>
      <x:c r="B94" s="14">
        <x:v>226.476</x:v>
      </x:c>
      <x:c r="C94" s="13"/>
      <x:c r="D94" s="13" t="s">
        <x:v>47</x:v>
      </x:c>
    </x:row>
    <x:row r="95">
      <x:c r="A95" s="13" t="str">
        <x:f>"pump_friction_speed2_Nm = "&amp;B95</x:f>
        <x:v>pump_friction_speed2_Nm = 226.476</x:v>
      </x:c>
      <x:c r="B95" s="14">
        <x:v>226.476</x:v>
      </x:c>
      <x:c r="C95" s="13"/>
      <x:c r="D95" s="13" t="s">
        <x:v>47</x:v>
      </x:c>
    </x:row>
    <x:row r="96">
      <x:c r="A96" s="13" t="str">
        <x:f>"break_elevation_m = "&amp;B96</x:f>
        <x:v>break_elevation_m = 5.2</x:v>
      </x:c>
      <x:c r="B96" s="14">
        <x:v>5.2</x:v>
      </x:c>
      <x:c r="C96" s="13" t="s">
        <x:v>48</x:v>
      </x:c>
      <x:c r="D96" s="13" t="s">
        <x:v>59</x:v>
      </x:c>
    </x:row>
    <x:row r="97">
      <x:c r="A97" s="13" t="str">
        <x:f>"t_break = "&amp;B97</x:f>
        <x:v>t_break = 0</x:v>
      </x:c>
      <x:c r="B97" s="14">
        <x:v>0</x:v>
      </x:c>
      <x:c r="C97" s="13" t="s">
        <x:v>54</x:v>
      </x:c>
      <x:c r="D97" s="13" t="s">
        <x:v>60</x:v>
      </x:c>
    </x:row>
    <x:row r="98">
      <x:c r="A98" s="13" t="str">
        <x:f>"full_power_flag = "&amp;B98</x:f>
        <x:v>full_power_flag = 0</x:v>
      </x:c>
      <x:c r="B98" s="14">
        <x:v>0</x:v>
      </x:c>
      <x:c r="C98" s="13"/>
      <x:c r="D98" s="13" t="s">
        <x:v>61</x:v>
      </x:c>
    </x:row>
    <x:row r="99">
      <x:c r="A99" s="13" t="str">
        <x:f>"trip_time_s = "&amp;B99</x:f>
        <x:v>trip_time_s = 0</x:v>
      </x:c>
      <x:c r="B99" s="14">
        <x:v>0</x:v>
      </x:c>
      <x:c r="C99" s="13" t="s">
        <x:v>54</x:v>
      </x:c>
      <x:c r="D99" s="13" t="s">
        <x:v>62</x:v>
      </x:c>
    </x:row>
    <x:row r="100">
      <x:c r="A100" s="13" t="str">
        <x:f>"trip_delay = "&amp;B100</x:f>
        <x:v>trip_delay = 0</x:v>
      </x:c>
      <x:c r="B100" s="14">
        <x:v>0</x:v>
      </x:c>
      <x:c r="C100" s="13" t="s">
        <x:v>54</x:v>
      </x:c>
      <x:c r="D100" s="13" t="s">
        <x:v>63</x:v>
      </x:c>
    </x:row>
    <x:row r="101">
      <x:c r="A101" s="13" t="str">
        <x:f>"pump_trip_time = "&amp;B101</x:f>
        <x:v>pump_trip_time = 0</x:v>
      </x:c>
      <x:c r="B101" s="14">
        <x:v>0</x:v>
      </x:c>
      <x:c r="C101" s="13" t="s">
        <x:v>54</x:v>
      </x:c>
      <x:c r="D101" s="13" t="s">
        <x:v>64</x:v>
      </x:c>
    </x:row>
    <x:row r="102">
      <x:c r="A102" s="13" t="str">
        <x:f>"si_enabled = "&amp;IF(B102,"True","False")</x:f>
        <x:v>si_enabled = True</x:v>
      </x:c>
      <x:c r="B102" s="15" t="b">
        <x:v>1</x:v>
      </x:c>
      <x:c r="C102" s="13"/>
      <x:c r="D102" s="13" t="s">
        <x:v>65</x:v>
      </x:c>
    </x:row>
    <x:row r="103">
      <x:c r="A103" s="13" t="str">
        <x:f>"lpsi_p_shutoff_Pa = "&amp;B103</x:f>
        <x:v>lpsi_p_shutoff_Pa = 1500000</x:v>
      </x:c>
      <x:c r="B103" s="14">
        <x:v>1500000</x:v>
      </x:c>
      <x:c r="C103" s="13" t="s">
        <x:v>52</x:v>
      </x:c>
      <x:c r="D103" s="13" t="s">
        <x:v>66</x:v>
      </x:c>
    </x:row>
    <x:row r="104">
      <x:c r="A104" s="13" t="str">
        <x:f>"lpsi_p_rated_Pa = "&amp;B104</x:f>
        <x:v>lpsi_p_rated_Pa = 300000</x:v>
      </x:c>
      <x:c r="B104" s="14">
        <x:v>300000</x:v>
      </x:c>
      <x:c r="C104" s="13" t="s">
        <x:v>52</x:v>
      </x:c>
      <x:c r="D104" s="13" t="s">
        <x:v>66</x:v>
      </x:c>
    </x:row>
    <x:row r="105">
      <x:c r="A105" s="13" t="str">
        <x:f>"nbt_credit_deposition = "&amp;IF(B105,"True","False")</x:f>
        <x:v>nbt_credit_deposition = False</x:v>
      </x:c>
      <x:c r="B105" s="15" t="b">
        <x:v>0</x:v>
      </x:c>
      <x:c r="C105" s="13"/>
      <x:c r="D105" s="13" t="s">
        <x:v>67</x:v>
      </x:c>
    </x:row>
    <x:row r="106">
      <x:c r="A106" s="13" t="str">
        <x:f>"nbt_filtered_leak_fraction = "&amp;B106</x:f>
        <x:v>nbt_filtered_leak_fraction = 0</x:v>
      </x:c>
      <x:c r="B106" s="14">
        <x:v>0</x:v>
      </x:c>
      <x:c r="C106" s="13"/>
      <x:c r="D106" s="13" t="s">
        <x:v>68</x:v>
      </x:c>
    </x:row>
    <x:row r="107">
      <x:c r="A107" s="13" t="str">
        <x:f>"nbt_end_time_hr = "&amp;B107</x:f>
        <x:v>nbt_end_time_hr = 2</x:v>
      </x:c>
      <x:c r="B107" s="14">
        <x:v>2</x:v>
      </x:c>
      <x:c r="C107" s="13" t="s">
        <x:v>20</x:v>
      </x:c>
      <x:c r="D107" s="13" t="s">
        <x:v>69</x:v>
      </x:c>
    </x:row>
    <x:row r="108">
      <x:c r="A108" s="13" t="str">
        <x:f>"nbt_eab_search_end_hr = "&amp;B108</x:f>
        <x:v>nbt_eab_search_end_hr = 2</x:v>
      </x:c>
      <x:c r="B108" s="14">
        <x:v>2</x:v>
      </x:c>
      <x:c r="C108" s="13" t="s">
        <x:v>20</x:v>
      </x:c>
      <x:c r="D108" s="13" t="s">
        <x:v>70</x:v>
      </x:c>
    </x:row>
    <x:row r="109">
      <x:c r="A109" s="13" t="str">
        <x:f>"nbt_distance_lpz_m = "&amp;B109</x:f>
        <x:v>nbt_distance_lpz_m = 4000</x:v>
      </x:c>
      <x:c r="B109" s="14">
        <x:v>4000</x:v>
      </x:c>
      <x:c r="C109" s="13" t="s">
        <x:v>48</x:v>
      </x:c>
      <x:c r="D109" s="13" t="s">
        <x:v>71</x:v>
      </x:c>
    </x:row>
    <x:row r="110">
      <x:c r="A110" s="13" t="str">
        <x:f>"nbt_distance_eab_m = "&amp;B110</x:f>
        <x:v>nbt_distance_eab_m = 914</x:v>
      </x:c>
      <x:c r="B110" s="14">
        <x:v>914</x:v>
      </x:c>
      <x:c r="C110" s="13" t="s">
        <x:v>48</x:v>
      </x:c>
      <x:c r="D110" s="13" t="s">
        <x:v>71</x:v>
      </x:c>
    </x:row>
    <x:row r="111">
      <x:c r="A111" s="13" t="str">
        <x:f>"nbt_lpz_integration_hr = "&amp;B111</x:f>
        <x:v>nbt_lpz_integration_hr = 720</x:v>
      </x:c>
      <x:c r="B111" s="14">
        <x:v>720</x:v>
      </x:c>
      <x:c r="C111" s="13" t="s">
        <x:v>20</x:v>
      </x:c>
      <x:c r="D111" s="13" t="s">
        <x:v>71</x:v>
      </x:c>
    </x:row>
    <x:row r="112">
      <x:c r="A112" t="s">
        <x:v>4</x:v>
      </x:c>
      <x:c r="B112" s="12" t="s">
        <x:v>72</x:v>
      </x:c>
      <x:c r="C112" s="12" t="s">
        <x:v>73</x:v>
      </x:c>
      <x:c r="D112" s="12" t="s">
        <x:v>74</x:v>
      </x:c>
      <x:c r="E112" s="12" t="s">
        <x:v>75</x:v>
      </x:c>
      <x:c r="F112" s="12" t="s">
        <x:v>76</x:v>
      </x:c>
    </x:row>
    <x:row r="113">
      <x:c r="A113" s="12" t="s">
        <x:v>77</x:v>
      </x:c>
      <x:c r="B113">
        <x:v>0</x:v>
      </x:c>
      <x:c r="C113">
        <x:v>0</x:v>
      </x:c>
      <x:c r="D113">
        <x:v>0</x:v>
      </x:c>
      <x:c r="E113">
        <x:v>0</x:v>
      </x:c>
      <x:c r="F113">
        <x:v>0</x:v>
      </x:c>
    </x:row>
    <x:row r="114">
      <x:c r="A114">
        <x:v>0</x:v>
      </x:c>
      <x:c r="B114">
        <x:v>0</x:v>
      </x:c>
      <x:c r="C114">
        <x:v>0</x:v>
      </x:c>
      <x:c r="D114">
        <x:v>0</x:v>
      </x:c>
      <x:c r="E114">
        <x:v>0</x:v>
      </x:c>
      <x:c r="F114">
        <x:v>0</x:v>
      </x:c>
    </x:row>
    <x:row r="115">
      <x:c r="A115">
        <x:v>1</x:v>
      </x:c>
      <x:c r="B115">
        <x:v>0</x:v>
      </x:c>
      <x:c r="C115">
        <x:v>0</x:v>
      </x:c>
      <x:c r="D115">
        <x:v>0</x:v>
      </x:c>
      <x:c r="E115">
        <x:v>0</x:v>
      </x:c>
      <x:c r="F115">
        <x:v>0</x:v>
      </x:c>
    </x:row>
    <x:row r="116">
      <x:c r="A116">
        <x:v>30</x:v>
      </x:c>
      <x:c r="B116">
        <x:v>0</x:v>
      </x:c>
      <x:c r="C116">
        <x:v>0</x:v>
      </x:c>
      <x:c r="D116">
        <x:v>0</x:v>
      </x:c>
      <x:c r="E116">
        <x:v>0</x:v>
      </x:c>
      <x:c r="F116">
        <x:v>0</x:v>
      </x:c>
    </x:row>
    <x:row r="117">
      <x:c r="A117">
        <x:v>300</x:v>
      </x:c>
    </x:row>
  </x:sheetData>
  <x:mergeCells>
    <x:mergeCell ref="A32:D32"/>
    <x:mergeCell ref="A33:D33"/>
    <x:mergeCell ref="A34:D34"/>
    <x:mergeCell ref="A35:D35"/>
    <x:mergeCell ref="A36:D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"/>
  <x:cols>
    <x:col min="1" max="1" width="25" customWidth="1"/>
    <x:col min="2" max="3" width="20" customWidth="1"/>
    <x:col min="4" max="4" width="80" customWidth="1"/>
  </x:cols>
  <x:sheetData>
    <x:row r="1" ht="23" customHeight="1">
      <x:c r="A1" s="2" t="s">
        <x:v>78</x:v>
      </x:c>
      <x:c r="B1" s="1"/>
      <x:c r="C1" s="1"/>
      <x:c r="D1" s="1"/>
    </x:row>
    <x:row r="2" ht="23" customHeight="1">
      <x:c r="A2" s="1" t="s">
        <x:v>79</x:v>
      </x:c>
      <x:c r="B2" s="1"/>
      <x:c r="C2" s="1"/>
      <x:c r="D2" s="1"/>
    </x:row>
    <x:row r="3" ht="23" customHeight="1">
      <x:c r="A3" s="1"/>
      <x:c r="B3" s="1"/>
      <x:c r="C3" s="1"/>
      <x:c r="D3" s="1"/>
    </x:row>
    <x:row r="4" ht="27" customHeight="1">
      <x:c r="A4" s="3" t="s">
        <x:v>80</x:v>
      </x:c>
      <x:c r="B4" s="3" t="s">
        <x:v>81</x:v>
      </x:c>
      <x:c r="C4" s="3" t="s">
        <x:v>82</x:v>
      </x:c>
      <x:c r="D4" s="3" t="s">
        <x:v>8</x:v>
      </x:c>
    </x:row>
    <x:row r="5" ht="23" customHeight="1">
      <x:c r="A5" s="1" t="s">
        <x:v>83</x:v>
      </x:c>
      <x:c r="B5" s="11">
        <x:v>0.05</x:v>
      </x:c>
      <x:c r="C5" s="11">
        <x:v>0.95</x:v>
      </x:c>
      <x:c r="D5" s="1" t="s">
        <x:v>84</x:v>
      </x:c>
    </x:row>
    <x:row r="6" ht="23" customHeight="1">
      <x:c r="A6" s="1" t="s">
        <x:v>85</x:v>
      </x:c>
      <x:c r="B6" s="11">
        <x:v>0.05</x:v>
      </x:c>
      <x:c r="C6" s="11">
        <x:v>0.35</x:v>
      </x:c>
      <x:c r="D6" s="1" t="s">
        <x:v>86</x:v>
      </x:c>
    </x:row>
    <x:row r="7" ht="23" customHeight="1">
      <x:c r="A7" s="1" t="s">
        <x:v>87</x:v>
      </x:c>
      <x:c r="B7" s="11">
        <x:v>0.05</x:v>
      </x:c>
      <x:c r="C7" s="11">
        <x:v>0.25</x:v>
      </x:c>
      <x:c r="D7" s="1" t="s">
        <x:v>88</x:v>
      </x:c>
    </x:row>
    <x:row r="8" ht="23" customHeight="1">
      <x:c r="A8" s="1" t="s">
        <x:v>89</x:v>
      </x:c>
      <x:c r="B8" s="11">
        <x:v>0</x:v>
      </x:c>
      <x:c r="C8" s="11">
        <x:v>0.05</x:v>
      </x:c>
      <x:c r="D8" s="1" t="s">
        <x:v>90</x:v>
      </x:c>
    </x:row>
    <x:row r="9" ht="23" customHeight="1">
      <x:c r="A9" s="1" t="s">
        <x:v>91</x:v>
      </x:c>
      <x:c r="B9" s="11">
        <x:v>0</x:v>
      </x:c>
      <x:c r="C9" s="11">
        <x:v>0.02</x:v>
      </x:c>
      <x:c r="D9" s="1" t="s">
        <x:v>92</x:v>
      </x:c>
    </x:row>
    <x:row r="10" ht="23" customHeight="1">
      <x:c r="A10" s="1" t="s">
        <x:v>93</x:v>
      </x:c>
      <x:c r="B10" s="11">
        <x:v>0</x:v>
      </x:c>
      <x:c r="C10" s="11">
        <x:v>2.5000000000000001E-3</x:v>
      </x:c>
      <x:c r="D10" s="1" t="s">
        <x:v>94</x:v>
      </x:c>
    </x:row>
    <x:row r="11" ht="23" customHeight="1">
      <x:c r="A11" s="1" t="s">
        <x:v>95</x:v>
      </x:c>
      <x:c r="B11" s="11">
        <x:v>0</x:v>
      </x:c>
      <x:c r="C11" s="11">
        <x:v>5.0000000000000001E-4</x:v>
      </x:c>
      <x:c r="D11" s="1" t="s">
        <x:v>96</x:v>
      </x:c>
    </x:row>
    <x:row r="12" ht="23" customHeight="1">
      <x:c r="A12" s="1" t="s">
        <x:v>97</x:v>
      </x:c>
      <x:c r="B12" s="11">
        <x:v>0</x:v>
      </x:c>
      <x:c r="C12" s="11">
        <x:v>2.0000000000000001E-4</x:v>
      </x:c>
      <x:c r="D12" s="1" t="s">
        <x:v>98</x:v>
      </x:c>
    </x:row>
    <x:row r="13" ht="23" customHeight="1">
      <x:c r="A13" s="1" t="s">
        <x:v>99</x:v>
      </x:c>
      <x:c r="B13" s="11">
        <x:v>0</x:v>
      </x:c>
      <x:c r="C13" s="11">
        <x:v>2.0000000000000001E-4</x:v>
      </x:c>
      <x:c r="D13" s="1" t="s">
        <x:v>100</x:v>
      </x:c>
    </x:row>
    <x:row r="14" ht="23" customHeight="1">
      <x:c r="A14" s="1"/>
      <x:c r="B14" s="1"/>
      <x:c r="C14" s="1"/>
      <x:c r="D14" s="1"/>
    </x:row>
    <x:row r="15" ht="23" customHeight="1">
      <x:c r="A15" s="1" t="s">
        <x:v>11</x:v>
      </x:c>
      <x:c r="B15" s="1"/>
      <x:c r="C15" s="1"/>
      <x:c r="D15" s="1"/>
    </x:row>
  </x:sheetData>
  <x:pageMargins left="0.7" right="0.7" top="0.75" bottom="0.75" header="0.3" footer="0.3"/>
</x:worksheet>
</file>